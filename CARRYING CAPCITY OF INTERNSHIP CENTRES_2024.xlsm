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Ronybahatungire/Desktop/2022 Documents/Internship Documents/"/>
    </mc:Choice>
  </mc:AlternateContent>
  <xr:revisionPtr revIDLastSave="0" documentId="8_{321E5014-BC35-D64A-8138-D175C21DE0E2}" xr6:coauthVersionLast="47" xr6:coauthVersionMax="47" xr10:uidLastSave="{00000000-0000-0000-0000-000000000000}"/>
  <bookViews>
    <workbookView xWindow="0" yWindow="0" windowWidth="28800" windowHeight="18000" xr2:uid="{E8355AD8-5389-4E45-ADA9-1BDB15B5D884}"/>
  </bookViews>
  <sheets>
    <sheet name="CARRYING CAPCITY OF INTERNSHIP " sheetId="1" r:id="rId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2" i="1"/>
</calcChain>
</file>

<file path=xl/sharedStrings.xml><?xml version="1.0" encoding="utf-8"?>
<sst xmlns="http://schemas.openxmlformats.org/spreadsheetml/2006/main" count="83" uniqueCount="82">
  <si>
    <t>Internship Centre</t>
  </si>
  <si>
    <t>Adjumani General Hospital</t>
  </si>
  <si>
    <t>Anaka general hospital</t>
  </si>
  <si>
    <t>Apac General Hospital</t>
  </si>
  <si>
    <t>Arua RRH</t>
  </si>
  <si>
    <t>Bombo Miltary Hospital</t>
  </si>
  <si>
    <t>Bugiri General Hospital</t>
  </si>
  <si>
    <t>Bundibugyo General Hospital</t>
  </si>
  <si>
    <t>Bwera General Hospital</t>
  </si>
  <si>
    <t>C Care Uganda</t>
  </si>
  <si>
    <t xml:space="preserve">C.O.U Kisiizi Hospital </t>
  </si>
  <si>
    <t xml:space="preserve">Church of Uganda Bwindi Community Hospital </t>
  </si>
  <si>
    <t>Entebbe Regional Referral Hospital</t>
  </si>
  <si>
    <t>Fort portal RRH</t>
  </si>
  <si>
    <t>Gulu RRH</t>
  </si>
  <si>
    <t>Hoima RRH</t>
  </si>
  <si>
    <t>Holy Innocents Children's Hospital Mbarara</t>
  </si>
  <si>
    <t>Iganga General Hospital</t>
  </si>
  <si>
    <t xml:space="preserve">Ishaka adventist hospital </t>
  </si>
  <si>
    <t>jinja regional referral hospital</t>
  </si>
  <si>
    <t>Kabale RRH</t>
  </si>
  <si>
    <t xml:space="preserve">Kagando Hospital </t>
  </si>
  <si>
    <t xml:space="preserve">KALISIZO HOSPITAL </t>
  </si>
  <si>
    <t>Kalongo Hospital</t>
  </si>
  <si>
    <t>Kambuga General Hospital</t>
  </si>
  <si>
    <t>Kampala international university teaching hospital</t>
  </si>
  <si>
    <t>KAROLI LWANGA HOSPITAL-NYAKIBALE</t>
  </si>
  <si>
    <t xml:space="preserve">KAWEMPE NATIONAL REFERRAL HOSPITAL </t>
  </si>
  <si>
    <t>Kawolo GH</t>
  </si>
  <si>
    <t>Kayunga RRH</t>
  </si>
  <si>
    <t xml:space="preserve">Kiboga General Hospital </t>
  </si>
  <si>
    <t xml:space="preserve">Kibuli General </t>
  </si>
  <si>
    <t>Kiruddu National Referral Hospital</t>
  </si>
  <si>
    <t>Kiryandongo General Hospital</t>
  </si>
  <si>
    <t>Kisoro General Hospital</t>
  </si>
  <si>
    <t xml:space="preserve">Kisubi Hospital </t>
  </si>
  <si>
    <t>Kitagata General Hospital</t>
  </si>
  <si>
    <t>Kitgum General Hospital</t>
  </si>
  <si>
    <t>Kiwoko hospital</t>
  </si>
  <si>
    <t>Lira regional Referral Hospital</t>
  </si>
  <si>
    <t xml:space="preserve">Lira University hospital </t>
  </si>
  <si>
    <t>Lubaga hospital</t>
  </si>
  <si>
    <t>Luwero General Hospital</t>
  </si>
  <si>
    <t>Lyantonde Hospital</t>
  </si>
  <si>
    <t>Masaka Regional Referral Hospital</t>
  </si>
  <si>
    <t>Mbale Regional Referral Hospital</t>
  </si>
  <si>
    <t>Mbale RRH</t>
  </si>
  <si>
    <t>Mbarara RRH</t>
  </si>
  <si>
    <t xml:space="preserve">Mengo hospital </t>
  </si>
  <si>
    <t>Mityana General Hospital</t>
  </si>
  <si>
    <t>MOROTO</t>
  </si>
  <si>
    <t>Moyo General Hospital</t>
  </si>
  <si>
    <t>Mubende Regional Referral Hospital</t>
  </si>
  <si>
    <t xml:space="preserve">Mukono Church of Uganda Hospital </t>
  </si>
  <si>
    <t>Mukono General Hospital</t>
  </si>
  <si>
    <t>MULAGO NRH</t>
  </si>
  <si>
    <t>MULAGO SPECIALISED WOMEN AND NEONATAL HOSPITAL</t>
  </si>
  <si>
    <t>MUTOLERE</t>
  </si>
  <si>
    <t>Naguru National Referral Hospital</t>
  </si>
  <si>
    <t>Nakaseke General Hospital</t>
  </si>
  <si>
    <t xml:space="preserve">NEBBI GENERAL HOSPITAL </t>
  </si>
  <si>
    <t>Ruharo General Hospital</t>
  </si>
  <si>
    <t>Soroti Regional Referral Hospital</t>
  </si>
  <si>
    <t>St John XXIII hospital Aber ( Aber hospital)</t>
  </si>
  <si>
    <t>St Marys Hospital Lacor</t>
  </si>
  <si>
    <t xml:space="preserve">St. Francis naggalama hospital </t>
  </si>
  <si>
    <t>St. Francis Nsmabya Hospital</t>
  </si>
  <si>
    <t>St. Joseph Hospital Maracha</t>
  </si>
  <si>
    <t xml:space="preserve">St. Joseph's Hospital Kitgum </t>
  </si>
  <si>
    <t xml:space="preserve">St. Joseph's Hospital Kitovu </t>
  </si>
  <si>
    <t>Tororo General Hospital</t>
  </si>
  <si>
    <t>UHI</t>
  </si>
  <si>
    <t xml:space="preserve">Yumbe Regional Referral Hospital </t>
  </si>
  <si>
    <t>TOTAL</t>
  </si>
  <si>
    <t>St. Kizito Hospital, Matany</t>
  </si>
  <si>
    <t>MBChB</t>
  </si>
  <si>
    <t>BDS</t>
  </si>
  <si>
    <t>B.PHARM</t>
  </si>
  <si>
    <t>BSN</t>
  </si>
  <si>
    <t>BSM</t>
  </si>
  <si>
    <t>Total</t>
  </si>
  <si>
    <t>INTERNSHIP TRAINING CENTRE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</si>
</sst>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/>
    <xf numFmtId="0" fontId="18" fillId="0" borderId="10" xfId="0" applyFont="1" applyBorder="1"/>
    <xf numFmtId="0" fontId="0" fillId="0" borderId="10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 /><Relationship Id="rId2" Type="http://schemas.openxmlformats.org/officeDocument/2006/relationships/theme" Target="theme/theme1.xml" /><Relationship Id="rId1" Type="http://schemas.openxmlformats.org/officeDocument/2006/relationships/worksheet" Target="worksheets/sheet1.xml" /><Relationship Id="rId5" Type="http://schemas.openxmlformats.org/officeDocument/2006/relationships/calcChain" Target="calcChain.xml" /><Relationship Id="rId4" Type="http://schemas.openxmlformats.org/officeDocument/2006/relationships/sharedStrings" Target="sharedString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2BF0D-4FF8-554F-BA42-86B819B7184B}">
  <dimension ref="A1:H75"/>
  <sheetViews>
    <sheetView tabSelected="1" workbookViewId="0">
      <pane ySplit="1" topLeftCell="A48" activePane="bottomLeft" state="frozen"/>
      <selection pane="bottomLeft" activeCell="L68" sqref="L68"/>
    </sheetView>
  </sheetViews>
  <sheetFormatPr defaultColWidth="10.8515625" defaultRowHeight="16.5" x14ac:dyDescent="0.25"/>
  <cols>
    <col min="1" max="1" width="48.70703125" hidden="1" customWidth="1"/>
    <col min="2" max="2" width="48.70703125" customWidth="1"/>
    <col min="3" max="3" width="7.2734375" bestFit="1" customWidth="1"/>
    <col min="4" max="4" width="4.68359375" bestFit="1" customWidth="1"/>
    <col min="5" max="5" width="8.875" bestFit="1" customWidth="1"/>
    <col min="6" max="6" width="4.68359375" bestFit="1" customWidth="1"/>
    <col min="7" max="7" width="4.80859375" bestFit="1" customWidth="1"/>
    <col min="8" max="8" width="5.17578125" bestFit="1" customWidth="1"/>
  </cols>
  <sheetData>
    <row r="1" spans="1:8" s="1" customFormat="1" x14ac:dyDescent="0.25">
      <c r="A1" s="1" t="s">
        <v>0</v>
      </c>
      <c r="B1" s="2" t="s">
        <v>81</v>
      </c>
      <c r="C1" s="2" t="s">
        <v>75</v>
      </c>
      <c r="D1" s="2" t="s">
        <v>76</v>
      </c>
      <c r="E1" s="2" t="s">
        <v>77</v>
      </c>
      <c r="F1" s="2" t="s">
        <v>78</v>
      </c>
      <c r="G1" s="2" t="s">
        <v>79</v>
      </c>
      <c r="H1" s="2" t="s">
        <v>80</v>
      </c>
    </row>
    <row r="2" spans="1:8" x14ac:dyDescent="0.25">
      <c r="A2" t="s">
        <v>1</v>
      </c>
      <c r="B2" s="3" t="str">
        <f>UPPER(A2)</f>
        <v>ADJUMANI GENERAL HOSPITAL</v>
      </c>
      <c r="C2" s="3">
        <v>8</v>
      </c>
      <c r="D2" s="3">
        <v>0</v>
      </c>
      <c r="E2" s="3">
        <v>2</v>
      </c>
      <c r="F2" s="3">
        <v>10</v>
      </c>
      <c r="G2" s="3">
        <v>0</v>
      </c>
      <c r="H2" s="3">
        <v>20</v>
      </c>
    </row>
    <row r="3" spans="1:8" x14ac:dyDescent="0.25">
      <c r="A3" t="s">
        <v>2</v>
      </c>
      <c r="B3" s="3" t="str">
        <f t="shared" ref="B3:B66" si="0">UPPER(A3)</f>
        <v>ANAKA GENERAL HOSPITAL</v>
      </c>
      <c r="C3" s="3">
        <v>6</v>
      </c>
      <c r="D3" s="3">
        <v>0</v>
      </c>
      <c r="E3" s="3">
        <v>3</v>
      </c>
      <c r="F3" s="3">
        <v>6</v>
      </c>
      <c r="G3" s="3">
        <v>4</v>
      </c>
      <c r="H3" s="3">
        <v>19</v>
      </c>
    </row>
    <row r="4" spans="1:8" x14ac:dyDescent="0.25">
      <c r="A4" t="s">
        <v>3</v>
      </c>
      <c r="B4" s="3" t="str">
        <f t="shared" si="0"/>
        <v>APAC GENERAL HOSPITAL</v>
      </c>
      <c r="C4" s="3">
        <v>0</v>
      </c>
      <c r="D4" s="3">
        <v>0</v>
      </c>
      <c r="E4" s="3">
        <v>2</v>
      </c>
      <c r="F4" s="3">
        <v>0</v>
      </c>
      <c r="G4" s="3">
        <v>0</v>
      </c>
      <c r="H4" s="3">
        <v>2</v>
      </c>
    </row>
    <row r="5" spans="1:8" x14ac:dyDescent="0.25">
      <c r="A5" t="s">
        <v>4</v>
      </c>
      <c r="B5" s="3" t="str">
        <f t="shared" si="0"/>
        <v>ARUA RRH</v>
      </c>
      <c r="C5" s="3">
        <v>24</v>
      </c>
      <c r="D5" s="3">
        <v>4</v>
      </c>
      <c r="E5" s="3">
        <v>8</v>
      </c>
      <c r="F5" s="3">
        <v>20</v>
      </c>
      <c r="G5" s="3">
        <v>10</v>
      </c>
      <c r="H5" s="3">
        <v>66</v>
      </c>
    </row>
    <row r="6" spans="1:8" x14ac:dyDescent="0.25">
      <c r="A6" t="s">
        <v>5</v>
      </c>
      <c r="B6" s="3" t="str">
        <f t="shared" si="0"/>
        <v>BOMBO MILTARY HOSPITAL</v>
      </c>
      <c r="C6" s="3">
        <v>31</v>
      </c>
      <c r="D6" s="3">
        <v>0</v>
      </c>
      <c r="E6" s="3">
        <v>2</v>
      </c>
      <c r="F6" s="3">
        <v>9</v>
      </c>
      <c r="G6" s="3">
        <v>0</v>
      </c>
      <c r="H6" s="3">
        <v>42</v>
      </c>
    </row>
    <row r="7" spans="1:8" x14ac:dyDescent="0.25">
      <c r="A7" t="s">
        <v>6</v>
      </c>
      <c r="B7" s="3" t="str">
        <f t="shared" si="0"/>
        <v>BUGIRI GENERAL HOSPITAL</v>
      </c>
      <c r="C7" s="3">
        <v>0</v>
      </c>
      <c r="D7" s="3">
        <v>0</v>
      </c>
      <c r="E7" s="3">
        <v>5</v>
      </c>
      <c r="F7" s="3">
        <v>5</v>
      </c>
      <c r="G7" s="3">
        <v>2</v>
      </c>
      <c r="H7" s="3">
        <v>12</v>
      </c>
    </row>
    <row r="8" spans="1:8" x14ac:dyDescent="0.25">
      <c r="A8" t="s">
        <v>7</v>
      </c>
      <c r="B8" s="3" t="str">
        <f t="shared" si="0"/>
        <v>BUNDIBUGYO GENERAL HOSPITAL</v>
      </c>
      <c r="C8" s="3">
        <v>0</v>
      </c>
      <c r="D8" s="3">
        <v>0</v>
      </c>
      <c r="E8" s="3">
        <v>0</v>
      </c>
      <c r="F8" s="3">
        <v>10</v>
      </c>
      <c r="G8" s="3">
        <v>0</v>
      </c>
      <c r="H8" s="3">
        <v>10</v>
      </c>
    </row>
    <row r="9" spans="1:8" x14ac:dyDescent="0.25">
      <c r="A9" t="s">
        <v>8</v>
      </c>
      <c r="B9" s="3" t="str">
        <f t="shared" si="0"/>
        <v>BWERA GENERAL HOSPITAL</v>
      </c>
      <c r="C9" s="3">
        <v>18</v>
      </c>
      <c r="D9" s="3">
        <v>0</v>
      </c>
      <c r="E9" s="3">
        <v>0</v>
      </c>
      <c r="F9" s="3">
        <v>42</v>
      </c>
      <c r="G9" s="3">
        <v>30</v>
      </c>
      <c r="H9" s="3">
        <v>90</v>
      </c>
    </row>
    <row r="10" spans="1:8" x14ac:dyDescent="0.25">
      <c r="A10" t="s">
        <v>9</v>
      </c>
      <c r="B10" s="3" t="str">
        <f t="shared" si="0"/>
        <v>C CARE UGANDA</v>
      </c>
      <c r="C10" s="3">
        <v>0</v>
      </c>
      <c r="D10" s="3">
        <v>0</v>
      </c>
      <c r="E10" s="3">
        <v>5</v>
      </c>
      <c r="F10" s="3">
        <v>20</v>
      </c>
      <c r="G10" s="3">
        <v>5</v>
      </c>
      <c r="H10" s="3">
        <v>30</v>
      </c>
    </row>
    <row r="11" spans="1:8" x14ac:dyDescent="0.25">
      <c r="A11" t="s">
        <v>10</v>
      </c>
      <c r="B11" s="3" t="str">
        <f t="shared" si="0"/>
        <v xml:space="preserve">C.O.U KISIIZI HOSPITAL </v>
      </c>
      <c r="C11" s="3">
        <v>16</v>
      </c>
      <c r="D11" s="3">
        <v>0</v>
      </c>
      <c r="E11" s="3">
        <v>0</v>
      </c>
      <c r="F11" s="3">
        <v>2</v>
      </c>
      <c r="G11" s="3">
        <v>2</v>
      </c>
      <c r="H11" s="3">
        <v>20</v>
      </c>
    </row>
    <row r="12" spans="1:8" x14ac:dyDescent="0.25">
      <c r="A12" t="s">
        <v>11</v>
      </c>
      <c r="B12" s="3" t="str">
        <f t="shared" si="0"/>
        <v xml:space="preserve">CHURCH OF UGANDA BWINDI COMMUNITY HOSPITAL </v>
      </c>
      <c r="C12" s="3">
        <v>8</v>
      </c>
      <c r="D12" s="3">
        <v>0</v>
      </c>
      <c r="E12" s="3">
        <v>0</v>
      </c>
      <c r="F12" s="3">
        <v>6</v>
      </c>
      <c r="G12" s="3">
        <v>0</v>
      </c>
      <c r="H12" s="3">
        <v>14</v>
      </c>
    </row>
    <row r="13" spans="1:8" x14ac:dyDescent="0.25">
      <c r="A13" t="s">
        <v>12</v>
      </c>
      <c r="B13" s="3" t="str">
        <f t="shared" si="0"/>
        <v>ENTEBBE REGIONAL REFERRAL HOSPITAL</v>
      </c>
      <c r="C13" s="3">
        <v>28</v>
      </c>
      <c r="D13" s="3">
        <v>0</v>
      </c>
      <c r="E13" s="3">
        <v>10</v>
      </c>
      <c r="F13" s="3">
        <v>25</v>
      </c>
      <c r="G13" s="3">
        <v>10</v>
      </c>
      <c r="H13" s="3">
        <v>73</v>
      </c>
    </row>
    <row r="14" spans="1:8" x14ac:dyDescent="0.25">
      <c r="A14" t="s">
        <v>13</v>
      </c>
      <c r="B14" s="3" t="str">
        <f t="shared" si="0"/>
        <v>FORT PORTAL RRH</v>
      </c>
      <c r="C14" s="3">
        <v>28</v>
      </c>
      <c r="D14" s="3">
        <v>3</v>
      </c>
      <c r="E14" s="3">
        <v>6</v>
      </c>
      <c r="F14" s="3">
        <v>7</v>
      </c>
      <c r="G14" s="3">
        <v>8</v>
      </c>
      <c r="H14" s="3">
        <v>52</v>
      </c>
    </row>
    <row r="15" spans="1:8" x14ac:dyDescent="0.25">
      <c r="A15" t="s">
        <v>14</v>
      </c>
      <c r="B15" s="3" t="str">
        <f t="shared" si="0"/>
        <v>GULU RRH</v>
      </c>
      <c r="C15" s="3">
        <v>24</v>
      </c>
      <c r="D15" s="3">
        <v>4</v>
      </c>
      <c r="E15" s="3">
        <v>6</v>
      </c>
      <c r="F15" s="3">
        <v>10</v>
      </c>
      <c r="G15" s="3">
        <v>10</v>
      </c>
      <c r="H15" s="3">
        <v>54</v>
      </c>
    </row>
    <row r="16" spans="1:8" x14ac:dyDescent="0.25">
      <c r="A16" t="s">
        <v>15</v>
      </c>
      <c r="B16" s="3" t="str">
        <f t="shared" si="0"/>
        <v>HOIMA RRH</v>
      </c>
      <c r="C16" s="3">
        <v>32</v>
      </c>
      <c r="D16" s="3">
        <v>3</v>
      </c>
      <c r="E16" s="3">
        <v>6</v>
      </c>
      <c r="F16" s="3">
        <v>10</v>
      </c>
      <c r="G16" s="3">
        <v>10</v>
      </c>
      <c r="H16" s="3">
        <v>61</v>
      </c>
    </row>
    <row r="17" spans="1:8" x14ac:dyDescent="0.25">
      <c r="A17" t="s">
        <v>16</v>
      </c>
      <c r="B17" s="3" t="str">
        <f t="shared" si="0"/>
        <v>HOLY INNOCENTS CHILDREN'S HOSPITAL MBARARA</v>
      </c>
      <c r="C17" s="3">
        <v>6</v>
      </c>
      <c r="D17" s="3">
        <v>0</v>
      </c>
      <c r="E17" s="3">
        <v>0</v>
      </c>
      <c r="F17" s="3">
        <v>0</v>
      </c>
      <c r="G17" s="3">
        <v>0</v>
      </c>
      <c r="H17" s="3">
        <v>6</v>
      </c>
    </row>
    <row r="18" spans="1:8" x14ac:dyDescent="0.25">
      <c r="A18" t="s">
        <v>17</v>
      </c>
      <c r="B18" s="3" t="str">
        <f t="shared" si="0"/>
        <v>IGANGA GENERAL HOSPITAL</v>
      </c>
      <c r="C18" s="3">
        <v>16</v>
      </c>
      <c r="D18" s="3">
        <v>0</v>
      </c>
      <c r="E18" s="3">
        <v>4</v>
      </c>
      <c r="F18" s="3">
        <v>3</v>
      </c>
      <c r="G18" s="3">
        <v>3</v>
      </c>
      <c r="H18" s="3">
        <v>26</v>
      </c>
    </row>
    <row r="19" spans="1:8" x14ac:dyDescent="0.25">
      <c r="A19" t="s">
        <v>18</v>
      </c>
      <c r="B19" s="3" t="str">
        <f t="shared" si="0"/>
        <v xml:space="preserve">ISHAKA ADVENTIST HOSPITAL </v>
      </c>
      <c r="C19" s="3">
        <v>8</v>
      </c>
      <c r="D19" s="3">
        <v>0</v>
      </c>
      <c r="E19" s="3">
        <v>2</v>
      </c>
      <c r="F19" s="3">
        <v>8</v>
      </c>
      <c r="G19" s="3">
        <v>8</v>
      </c>
      <c r="H19" s="3">
        <v>26</v>
      </c>
    </row>
    <row r="20" spans="1:8" x14ac:dyDescent="0.25">
      <c r="A20" t="s">
        <v>19</v>
      </c>
      <c r="B20" s="3" t="str">
        <f t="shared" si="0"/>
        <v>JINJA REGIONAL REFERRAL HOSPITAL</v>
      </c>
      <c r="C20" s="3">
        <v>32</v>
      </c>
      <c r="D20" s="3">
        <v>0</v>
      </c>
      <c r="E20" s="3">
        <v>10</v>
      </c>
      <c r="F20" s="3">
        <v>25</v>
      </c>
      <c r="G20" s="3">
        <v>25</v>
      </c>
      <c r="H20" s="3">
        <v>92</v>
      </c>
    </row>
    <row r="21" spans="1:8" x14ac:dyDescent="0.25">
      <c r="A21" t="s">
        <v>20</v>
      </c>
      <c r="B21" s="3" t="str">
        <f t="shared" si="0"/>
        <v>KABALE RRH</v>
      </c>
      <c r="C21" s="3">
        <v>16</v>
      </c>
      <c r="D21" s="3">
        <v>0</v>
      </c>
      <c r="E21" s="3">
        <v>5</v>
      </c>
      <c r="F21" s="3">
        <v>16</v>
      </c>
      <c r="G21" s="3">
        <v>0</v>
      </c>
      <c r="H21" s="3">
        <v>37</v>
      </c>
    </row>
    <row r="22" spans="1:8" x14ac:dyDescent="0.25">
      <c r="A22" t="s">
        <v>21</v>
      </c>
      <c r="B22" s="3" t="str">
        <f t="shared" si="0"/>
        <v xml:space="preserve">KAGANDO HOSPITAL </v>
      </c>
      <c r="C22" s="3">
        <v>10</v>
      </c>
      <c r="D22" s="3">
        <v>0</v>
      </c>
      <c r="E22" s="3">
        <v>0</v>
      </c>
      <c r="F22" s="3">
        <v>7</v>
      </c>
      <c r="G22" s="3">
        <v>4</v>
      </c>
      <c r="H22" s="3">
        <v>21</v>
      </c>
    </row>
    <row r="23" spans="1:8" x14ac:dyDescent="0.25">
      <c r="A23" t="s">
        <v>22</v>
      </c>
      <c r="B23" s="3" t="str">
        <f t="shared" si="0"/>
        <v xml:space="preserve">KALISIZO HOSPITAL </v>
      </c>
      <c r="C23" s="3">
        <v>0</v>
      </c>
      <c r="D23" s="3">
        <v>0</v>
      </c>
      <c r="E23" s="3">
        <v>4</v>
      </c>
      <c r="F23" s="3">
        <v>7</v>
      </c>
      <c r="G23" s="3">
        <v>3</v>
      </c>
      <c r="H23" s="3">
        <v>14</v>
      </c>
    </row>
    <row r="24" spans="1:8" x14ac:dyDescent="0.25">
      <c r="A24" t="s">
        <v>23</v>
      </c>
      <c r="B24" s="3" t="str">
        <f t="shared" si="0"/>
        <v>KALONGO HOSPITAL</v>
      </c>
      <c r="C24" s="3">
        <v>4</v>
      </c>
      <c r="D24" s="3">
        <v>0</v>
      </c>
      <c r="E24" s="3">
        <v>0</v>
      </c>
      <c r="F24" s="3">
        <v>0</v>
      </c>
      <c r="G24" s="3">
        <v>0</v>
      </c>
      <c r="H24" s="3">
        <v>4</v>
      </c>
    </row>
    <row r="25" spans="1:8" x14ac:dyDescent="0.25">
      <c r="A25" t="s">
        <v>24</v>
      </c>
      <c r="B25" s="3" t="str">
        <f t="shared" si="0"/>
        <v>KAMBUGA GENERAL HOSPITAL</v>
      </c>
      <c r="C25" s="3">
        <v>8</v>
      </c>
      <c r="D25" s="3">
        <v>0</v>
      </c>
      <c r="E25" s="3">
        <v>0</v>
      </c>
      <c r="F25" s="3">
        <v>8</v>
      </c>
      <c r="G25" s="3">
        <v>0</v>
      </c>
      <c r="H25" s="3">
        <v>16</v>
      </c>
    </row>
    <row r="26" spans="1:8" x14ac:dyDescent="0.25">
      <c r="A26" t="s">
        <v>25</v>
      </c>
      <c r="B26" s="3" t="str">
        <f t="shared" si="0"/>
        <v>KAMPALA INTERNATIONAL UNIVERSITY TEACHING HOSPITAL</v>
      </c>
      <c r="C26" s="3">
        <v>6</v>
      </c>
      <c r="D26" s="3">
        <v>3</v>
      </c>
      <c r="E26" s="3">
        <v>5</v>
      </c>
      <c r="F26" s="3">
        <v>10</v>
      </c>
      <c r="G26" s="3">
        <v>5</v>
      </c>
      <c r="H26" s="3">
        <v>29</v>
      </c>
    </row>
    <row r="27" spans="1:8" x14ac:dyDescent="0.25">
      <c r="A27" t="s">
        <v>26</v>
      </c>
      <c r="B27" s="3" t="str">
        <f t="shared" si="0"/>
        <v>KAROLI LWANGA HOSPITAL-NYAKIBALE</v>
      </c>
      <c r="C27" s="3">
        <v>8</v>
      </c>
      <c r="D27" s="3">
        <v>0</v>
      </c>
      <c r="E27" s="3">
        <v>0</v>
      </c>
      <c r="F27" s="3">
        <v>0</v>
      </c>
      <c r="G27" s="3">
        <v>0</v>
      </c>
      <c r="H27" s="3">
        <v>8</v>
      </c>
    </row>
    <row r="28" spans="1:8" x14ac:dyDescent="0.25">
      <c r="A28" t="s">
        <v>27</v>
      </c>
      <c r="B28" s="3" t="str">
        <f t="shared" si="0"/>
        <v xml:space="preserve">KAWEMPE NATIONAL REFERRAL HOSPITAL </v>
      </c>
      <c r="C28" s="3">
        <v>145</v>
      </c>
      <c r="D28" s="3">
        <v>0</v>
      </c>
      <c r="E28" s="3">
        <v>18</v>
      </c>
      <c r="F28" s="3">
        <v>30</v>
      </c>
      <c r="G28" s="3">
        <v>45</v>
      </c>
      <c r="H28" s="3">
        <v>238</v>
      </c>
    </row>
    <row r="29" spans="1:8" x14ac:dyDescent="0.25">
      <c r="A29" t="s">
        <v>28</v>
      </c>
      <c r="B29" s="3" t="str">
        <f t="shared" si="0"/>
        <v>KAWOLO GH</v>
      </c>
      <c r="C29" s="3">
        <v>4</v>
      </c>
      <c r="D29" s="3">
        <v>0</v>
      </c>
      <c r="E29" s="3">
        <v>3</v>
      </c>
      <c r="F29" s="3">
        <v>4</v>
      </c>
      <c r="G29" s="3">
        <v>2</v>
      </c>
      <c r="H29" s="3">
        <v>13</v>
      </c>
    </row>
    <row r="30" spans="1:8" x14ac:dyDescent="0.25">
      <c r="A30" t="s">
        <v>29</v>
      </c>
      <c r="B30" s="3" t="str">
        <f t="shared" si="0"/>
        <v>KAYUNGA RRH</v>
      </c>
      <c r="C30" s="3">
        <v>24</v>
      </c>
      <c r="D30" s="3">
        <v>2</v>
      </c>
      <c r="E30" s="3">
        <v>6</v>
      </c>
      <c r="F30" s="3">
        <v>20</v>
      </c>
      <c r="G30" s="3">
        <v>8</v>
      </c>
      <c r="H30" s="3">
        <v>60</v>
      </c>
    </row>
    <row r="31" spans="1:8" x14ac:dyDescent="0.25">
      <c r="A31" t="s">
        <v>30</v>
      </c>
      <c r="B31" s="3" t="str">
        <f t="shared" si="0"/>
        <v xml:space="preserve">KIBOGA GENERAL HOSPITAL </v>
      </c>
      <c r="C31" s="3">
        <v>6</v>
      </c>
      <c r="D31" s="3">
        <v>2</v>
      </c>
      <c r="E31" s="3">
        <v>3</v>
      </c>
      <c r="F31" s="3">
        <v>3</v>
      </c>
      <c r="G31" s="3">
        <v>3</v>
      </c>
      <c r="H31" s="3">
        <v>17</v>
      </c>
    </row>
    <row r="32" spans="1:8" x14ac:dyDescent="0.25">
      <c r="A32" t="s">
        <v>31</v>
      </c>
      <c r="B32" s="3" t="str">
        <f t="shared" si="0"/>
        <v xml:space="preserve">KIBULI GENERAL </v>
      </c>
      <c r="C32" s="3">
        <v>4</v>
      </c>
      <c r="D32" s="3">
        <v>0</v>
      </c>
      <c r="E32" s="3">
        <v>2</v>
      </c>
      <c r="F32" s="3">
        <v>8</v>
      </c>
      <c r="G32" s="3">
        <v>0</v>
      </c>
      <c r="H32" s="3">
        <v>14</v>
      </c>
    </row>
    <row r="33" spans="1:8" x14ac:dyDescent="0.25">
      <c r="A33" t="s">
        <v>32</v>
      </c>
      <c r="B33" s="3" t="str">
        <f t="shared" si="0"/>
        <v>KIRUDDU NATIONAL REFERRAL HOSPITAL</v>
      </c>
      <c r="C33" s="3">
        <v>50</v>
      </c>
      <c r="D33" s="3">
        <v>0</v>
      </c>
      <c r="E33" s="3">
        <v>18</v>
      </c>
      <c r="F33" s="3">
        <v>30</v>
      </c>
      <c r="G33" s="3">
        <v>0</v>
      </c>
      <c r="H33" s="3">
        <v>98</v>
      </c>
    </row>
    <row r="34" spans="1:8" x14ac:dyDescent="0.25">
      <c r="A34" t="s">
        <v>33</v>
      </c>
      <c r="B34" s="3" t="str">
        <f t="shared" si="0"/>
        <v>KIRYANDONGO GENERAL HOSPITAL</v>
      </c>
      <c r="C34" s="3">
        <v>0</v>
      </c>
      <c r="D34" s="3">
        <v>0</v>
      </c>
      <c r="E34" s="3">
        <v>4</v>
      </c>
      <c r="F34" s="3">
        <v>0</v>
      </c>
      <c r="G34" s="3">
        <v>0</v>
      </c>
      <c r="H34" s="3">
        <v>4</v>
      </c>
    </row>
    <row r="35" spans="1:8" x14ac:dyDescent="0.25">
      <c r="A35" t="s">
        <v>34</v>
      </c>
      <c r="B35" s="3" t="str">
        <f t="shared" si="0"/>
        <v>KISORO GENERAL HOSPITAL</v>
      </c>
      <c r="C35" s="3">
        <v>0</v>
      </c>
      <c r="D35" s="3">
        <v>0</v>
      </c>
      <c r="E35" s="3">
        <v>4</v>
      </c>
      <c r="F35" s="3">
        <v>4</v>
      </c>
      <c r="G35" s="3">
        <v>0</v>
      </c>
      <c r="H35" s="3">
        <v>8</v>
      </c>
    </row>
    <row r="36" spans="1:8" x14ac:dyDescent="0.25">
      <c r="A36" t="s">
        <v>35</v>
      </c>
      <c r="B36" s="3" t="str">
        <f t="shared" si="0"/>
        <v xml:space="preserve">KISUBI HOSPITAL </v>
      </c>
      <c r="C36" s="3">
        <v>12</v>
      </c>
      <c r="D36" s="3">
        <v>0</v>
      </c>
      <c r="E36" s="3">
        <v>3</v>
      </c>
      <c r="F36" s="3">
        <v>6</v>
      </c>
      <c r="G36" s="3">
        <v>4</v>
      </c>
      <c r="H36" s="3">
        <v>25</v>
      </c>
    </row>
    <row r="37" spans="1:8" x14ac:dyDescent="0.25">
      <c r="A37" t="s">
        <v>36</v>
      </c>
      <c r="B37" s="3" t="str">
        <f t="shared" si="0"/>
        <v>KITAGATA GENERAL HOSPITAL</v>
      </c>
      <c r="C37" s="3">
        <v>0</v>
      </c>
      <c r="D37" s="3">
        <v>0</v>
      </c>
      <c r="E37" s="3">
        <v>3</v>
      </c>
      <c r="F37" s="3">
        <v>10</v>
      </c>
      <c r="G37" s="3">
        <v>0</v>
      </c>
      <c r="H37" s="3">
        <v>13</v>
      </c>
    </row>
    <row r="38" spans="1:8" x14ac:dyDescent="0.25">
      <c r="A38" t="s">
        <v>37</v>
      </c>
      <c r="B38" s="3" t="str">
        <f t="shared" si="0"/>
        <v>KITGUM GENERAL HOSPITAL</v>
      </c>
      <c r="C38" s="3">
        <v>0</v>
      </c>
      <c r="D38" s="3">
        <v>0</v>
      </c>
      <c r="E38" s="3">
        <v>3</v>
      </c>
      <c r="F38" s="3">
        <v>12</v>
      </c>
      <c r="G38" s="3">
        <v>0</v>
      </c>
      <c r="H38" s="3">
        <v>15</v>
      </c>
    </row>
    <row r="39" spans="1:8" x14ac:dyDescent="0.25">
      <c r="A39" t="s">
        <v>38</v>
      </c>
      <c r="B39" s="3" t="str">
        <f t="shared" si="0"/>
        <v>KIWOKO HOSPITAL</v>
      </c>
      <c r="C39" s="3">
        <v>3</v>
      </c>
      <c r="D39" s="3">
        <v>0</v>
      </c>
      <c r="E39" s="3">
        <v>0</v>
      </c>
      <c r="F39" s="3">
        <v>0</v>
      </c>
      <c r="G39" s="3">
        <v>0</v>
      </c>
      <c r="H39" s="3">
        <v>3</v>
      </c>
    </row>
    <row r="40" spans="1:8" x14ac:dyDescent="0.25">
      <c r="A40" t="s">
        <v>39</v>
      </c>
      <c r="B40" s="3" t="str">
        <f t="shared" si="0"/>
        <v>LIRA REGIONAL REFERRAL HOSPITAL</v>
      </c>
      <c r="C40" s="3">
        <v>20</v>
      </c>
      <c r="D40" s="3">
        <v>0</v>
      </c>
      <c r="E40" s="3">
        <v>10</v>
      </c>
      <c r="F40" s="3">
        <v>8</v>
      </c>
      <c r="G40" s="3">
        <v>8</v>
      </c>
      <c r="H40" s="3">
        <v>46</v>
      </c>
    </row>
    <row r="41" spans="1:8" x14ac:dyDescent="0.25">
      <c r="A41" t="s">
        <v>40</v>
      </c>
      <c r="B41" s="3" t="str">
        <f t="shared" si="0"/>
        <v xml:space="preserve">LIRA UNIVERSITY HOSPITAL </v>
      </c>
      <c r="C41" s="3">
        <v>8</v>
      </c>
      <c r="D41" s="3">
        <v>0</v>
      </c>
      <c r="E41" s="3">
        <v>0</v>
      </c>
      <c r="F41" s="3">
        <v>3</v>
      </c>
      <c r="G41" s="3">
        <v>3</v>
      </c>
      <c r="H41" s="3">
        <v>14</v>
      </c>
    </row>
    <row r="42" spans="1:8" x14ac:dyDescent="0.25">
      <c r="A42" t="s">
        <v>41</v>
      </c>
      <c r="B42" s="3" t="str">
        <f t="shared" si="0"/>
        <v>LUBAGA HOSPITAL</v>
      </c>
      <c r="C42" s="3">
        <v>28</v>
      </c>
      <c r="D42" s="3">
        <v>0</v>
      </c>
      <c r="E42" s="3">
        <v>10</v>
      </c>
      <c r="F42" s="3">
        <v>10</v>
      </c>
      <c r="G42" s="3">
        <v>5</v>
      </c>
      <c r="H42" s="3">
        <v>53</v>
      </c>
    </row>
    <row r="43" spans="1:8" x14ac:dyDescent="0.25">
      <c r="A43" t="s">
        <v>42</v>
      </c>
      <c r="B43" s="3" t="str">
        <f t="shared" si="0"/>
        <v>LUWERO GENERAL HOSPITAL</v>
      </c>
      <c r="C43" s="3">
        <v>0</v>
      </c>
      <c r="D43" s="3">
        <v>0</v>
      </c>
      <c r="E43" s="3">
        <v>0</v>
      </c>
      <c r="F43" s="3">
        <v>15</v>
      </c>
      <c r="G43" s="3">
        <v>0</v>
      </c>
      <c r="H43" s="3">
        <v>15</v>
      </c>
    </row>
    <row r="44" spans="1:8" x14ac:dyDescent="0.25">
      <c r="A44" t="s">
        <v>43</v>
      </c>
      <c r="B44" s="3" t="str">
        <f t="shared" si="0"/>
        <v>LYANTONDE HOSPITAL</v>
      </c>
      <c r="C44" s="3">
        <v>0</v>
      </c>
      <c r="D44" s="3">
        <v>0</v>
      </c>
      <c r="E44" s="3">
        <v>0</v>
      </c>
      <c r="F44" s="3">
        <v>4</v>
      </c>
      <c r="G44" s="3">
        <v>4</v>
      </c>
      <c r="H44" s="3">
        <v>8</v>
      </c>
    </row>
    <row r="45" spans="1:8" x14ac:dyDescent="0.25">
      <c r="A45" t="s">
        <v>44</v>
      </c>
      <c r="B45" s="3" t="str">
        <f t="shared" si="0"/>
        <v>MASAKA REGIONAL REFERRAL HOSPITAL</v>
      </c>
      <c r="C45" s="3">
        <v>40</v>
      </c>
      <c r="D45" s="3">
        <v>0</v>
      </c>
      <c r="E45" s="3">
        <v>8</v>
      </c>
      <c r="F45" s="3">
        <v>25</v>
      </c>
      <c r="G45" s="3">
        <v>15</v>
      </c>
      <c r="H45" s="3">
        <v>88</v>
      </c>
    </row>
    <row r="46" spans="1:8" x14ac:dyDescent="0.25">
      <c r="A46" t="s">
        <v>45</v>
      </c>
      <c r="B46" s="3" t="str">
        <f t="shared" si="0"/>
        <v>MBALE REGIONAL REFERRAL HOSPITAL</v>
      </c>
      <c r="C46" s="3">
        <v>32</v>
      </c>
      <c r="D46" s="3">
        <v>0</v>
      </c>
      <c r="E46" s="3">
        <v>6</v>
      </c>
      <c r="F46" s="3">
        <v>20</v>
      </c>
      <c r="G46" s="3">
        <v>10</v>
      </c>
      <c r="H46" s="3">
        <v>68</v>
      </c>
    </row>
    <row r="47" spans="1:8" x14ac:dyDescent="0.25">
      <c r="A47" t="s">
        <v>46</v>
      </c>
      <c r="B47" s="3" t="str">
        <f t="shared" si="0"/>
        <v>MBALE RRH</v>
      </c>
      <c r="C47" s="3">
        <v>32</v>
      </c>
      <c r="D47" s="3">
        <v>0</v>
      </c>
      <c r="E47" s="3">
        <v>6</v>
      </c>
      <c r="F47" s="3">
        <v>20</v>
      </c>
      <c r="G47" s="3">
        <v>10</v>
      </c>
      <c r="H47" s="3">
        <v>68</v>
      </c>
    </row>
    <row r="48" spans="1:8" x14ac:dyDescent="0.25">
      <c r="A48" t="s">
        <v>47</v>
      </c>
      <c r="B48" s="3" t="str">
        <f t="shared" si="0"/>
        <v>MBARARA RRH</v>
      </c>
      <c r="C48" s="3">
        <v>33</v>
      </c>
      <c r="D48" s="3">
        <v>0</v>
      </c>
      <c r="E48" s="3">
        <v>4</v>
      </c>
      <c r="F48" s="3">
        <v>27</v>
      </c>
      <c r="G48" s="3">
        <v>4</v>
      </c>
      <c r="H48" s="3">
        <v>68</v>
      </c>
    </row>
    <row r="49" spans="1:8" x14ac:dyDescent="0.25">
      <c r="A49" t="s">
        <v>48</v>
      </c>
      <c r="B49" s="3" t="str">
        <f t="shared" si="0"/>
        <v xml:space="preserve">MENGO HOSPITAL </v>
      </c>
      <c r="C49" s="3">
        <v>26</v>
      </c>
      <c r="D49" s="3">
        <v>3</v>
      </c>
      <c r="E49" s="3">
        <v>10</v>
      </c>
      <c r="F49" s="3">
        <v>6</v>
      </c>
      <c r="G49" s="3">
        <v>6</v>
      </c>
      <c r="H49" s="3">
        <v>51</v>
      </c>
    </row>
    <row r="50" spans="1:8" x14ac:dyDescent="0.25">
      <c r="A50" t="s">
        <v>49</v>
      </c>
      <c r="B50" s="3" t="str">
        <f t="shared" si="0"/>
        <v>MITYANA GENERAL HOSPITAL</v>
      </c>
      <c r="C50" s="3">
        <v>20</v>
      </c>
      <c r="D50" s="3">
        <v>0</v>
      </c>
      <c r="E50" s="3">
        <v>4</v>
      </c>
      <c r="F50" s="3">
        <v>8</v>
      </c>
      <c r="G50" s="3">
        <v>8</v>
      </c>
      <c r="H50" s="3">
        <v>40</v>
      </c>
    </row>
    <row r="51" spans="1:8" x14ac:dyDescent="0.25">
      <c r="A51" t="s">
        <v>50</v>
      </c>
      <c r="B51" s="3" t="str">
        <f t="shared" si="0"/>
        <v>MOROTO</v>
      </c>
      <c r="C51" s="3">
        <v>9</v>
      </c>
      <c r="D51" s="3">
        <v>0</v>
      </c>
      <c r="E51" s="3">
        <v>3</v>
      </c>
      <c r="F51" s="3">
        <v>3</v>
      </c>
      <c r="G51" s="3">
        <v>2</v>
      </c>
      <c r="H51" s="3">
        <v>17</v>
      </c>
    </row>
    <row r="52" spans="1:8" x14ac:dyDescent="0.25">
      <c r="A52" t="s">
        <v>51</v>
      </c>
      <c r="B52" s="3" t="str">
        <f t="shared" si="0"/>
        <v>MOYO GENERAL HOSPITAL</v>
      </c>
      <c r="C52" s="3">
        <v>8</v>
      </c>
      <c r="D52" s="3">
        <v>0</v>
      </c>
      <c r="E52" s="3">
        <v>5</v>
      </c>
      <c r="F52" s="3">
        <v>10</v>
      </c>
      <c r="G52" s="3">
        <v>0</v>
      </c>
      <c r="H52" s="3">
        <v>23</v>
      </c>
    </row>
    <row r="53" spans="1:8" x14ac:dyDescent="0.25">
      <c r="A53" t="s">
        <v>52</v>
      </c>
      <c r="B53" s="3" t="str">
        <f t="shared" si="0"/>
        <v>MUBENDE REGIONAL REFERRAL HOSPITAL</v>
      </c>
      <c r="C53" s="3">
        <v>32</v>
      </c>
      <c r="D53" s="3">
        <v>4</v>
      </c>
      <c r="E53" s="3">
        <v>8</v>
      </c>
      <c r="F53" s="3">
        <v>16</v>
      </c>
      <c r="G53" s="3">
        <v>20</v>
      </c>
      <c r="H53" s="3">
        <v>80</v>
      </c>
    </row>
    <row r="54" spans="1:8" x14ac:dyDescent="0.25">
      <c r="A54" t="s">
        <v>53</v>
      </c>
      <c r="B54" s="3" t="str">
        <f t="shared" si="0"/>
        <v xml:space="preserve">MUKONO CHURCH OF UGANDA HOSPITAL </v>
      </c>
      <c r="C54" s="3">
        <v>6</v>
      </c>
      <c r="D54" s="3">
        <v>0</v>
      </c>
      <c r="E54" s="3">
        <v>3</v>
      </c>
      <c r="F54" s="3">
        <v>2</v>
      </c>
      <c r="G54" s="3">
        <v>2</v>
      </c>
      <c r="H54" s="3">
        <v>13</v>
      </c>
    </row>
    <row r="55" spans="1:8" x14ac:dyDescent="0.25">
      <c r="A55" t="s">
        <v>54</v>
      </c>
      <c r="B55" s="3" t="str">
        <f t="shared" si="0"/>
        <v>MUKONO GENERAL HOSPITAL</v>
      </c>
      <c r="C55" s="3">
        <v>8</v>
      </c>
      <c r="D55" s="3">
        <v>1</v>
      </c>
      <c r="E55" s="3">
        <v>0</v>
      </c>
      <c r="F55" s="3">
        <v>4</v>
      </c>
      <c r="G55" s="3">
        <v>4</v>
      </c>
      <c r="H55" s="3">
        <v>17</v>
      </c>
    </row>
    <row r="56" spans="1:8" x14ac:dyDescent="0.25">
      <c r="A56" t="s">
        <v>55</v>
      </c>
      <c r="B56" s="3" t="str">
        <f t="shared" si="0"/>
        <v>MULAGO NRH</v>
      </c>
      <c r="C56" s="3">
        <v>144</v>
      </c>
      <c r="D56" s="3">
        <v>33</v>
      </c>
      <c r="E56" s="3">
        <v>30</v>
      </c>
      <c r="F56" s="3">
        <v>72</v>
      </c>
      <c r="G56" s="3">
        <v>0</v>
      </c>
      <c r="H56" s="3">
        <v>279</v>
      </c>
    </row>
    <row r="57" spans="1:8" x14ac:dyDescent="0.25">
      <c r="A57" t="s">
        <v>56</v>
      </c>
      <c r="B57" s="3" t="str">
        <f t="shared" si="0"/>
        <v>MULAGO SPECIALISED WOMEN AND NEONATAL HOSPITAL</v>
      </c>
      <c r="C57" s="3">
        <v>30</v>
      </c>
      <c r="D57" s="3">
        <v>0</v>
      </c>
      <c r="E57" s="3">
        <v>10</v>
      </c>
      <c r="F57" s="3">
        <v>6</v>
      </c>
      <c r="G57" s="3">
        <v>35</v>
      </c>
      <c r="H57" s="3">
        <v>81</v>
      </c>
    </row>
    <row r="58" spans="1:8" x14ac:dyDescent="0.25">
      <c r="A58" t="s">
        <v>57</v>
      </c>
      <c r="B58" s="3" t="str">
        <f t="shared" si="0"/>
        <v>MUTOLERE</v>
      </c>
      <c r="C58" s="3">
        <v>4</v>
      </c>
      <c r="D58" s="3">
        <v>0</v>
      </c>
      <c r="E58" s="3">
        <v>0</v>
      </c>
      <c r="F58" s="3">
        <v>0</v>
      </c>
      <c r="G58" s="3">
        <v>0</v>
      </c>
      <c r="H58" s="3">
        <v>4</v>
      </c>
    </row>
    <row r="59" spans="1:8" x14ac:dyDescent="0.25">
      <c r="A59" t="s">
        <v>58</v>
      </c>
      <c r="B59" s="3" t="str">
        <f t="shared" si="0"/>
        <v>NAGURU NATIONAL REFERRAL HOSPITAL</v>
      </c>
      <c r="C59" s="3">
        <v>32</v>
      </c>
      <c r="D59" s="3">
        <v>0</v>
      </c>
      <c r="E59" s="3">
        <v>8</v>
      </c>
      <c r="F59" s="3">
        <v>24</v>
      </c>
      <c r="G59" s="3">
        <v>8</v>
      </c>
      <c r="H59" s="3">
        <v>72</v>
      </c>
    </row>
    <row r="60" spans="1:8" x14ac:dyDescent="0.25">
      <c r="A60" t="s">
        <v>59</v>
      </c>
      <c r="B60" s="3" t="str">
        <f t="shared" si="0"/>
        <v>NAKASEKE GENERAL HOSPITAL</v>
      </c>
      <c r="C60" s="3">
        <v>16</v>
      </c>
      <c r="D60" s="3">
        <v>3</v>
      </c>
      <c r="E60" s="3">
        <v>4</v>
      </c>
      <c r="F60" s="3">
        <v>8</v>
      </c>
      <c r="G60" s="3">
        <v>8</v>
      </c>
      <c r="H60" s="3">
        <v>39</v>
      </c>
    </row>
    <row r="61" spans="1:8" x14ac:dyDescent="0.25">
      <c r="A61" t="s">
        <v>60</v>
      </c>
      <c r="B61" s="3" t="str">
        <f t="shared" si="0"/>
        <v xml:space="preserve">NEBBI GENERAL HOSPITAL </v>
      </c>
      <c r="C61" s="3">
        <v>16</v>
      </c>
      <c r="D61" s="3">
        <v>0</v>
      </c>
      <c r="E61" s="3">
        <v>4</v>
      </c>
      <c r="F61" s="3">
        <v>8</v>
      </c>
      <c r="G61" s="3">
        <v>4</v>
      </c>
      <c r="H61" s="3">
        <v>32</v>
      </c>
    </row>
    <row r="62" spans="1:8" x14ac:dyDescent="0.25">
      <c r="A62" t="s">
        <v>61</v>
      </c>
      <c r="B62" s="3" t="str">
        <f t="shared" si="0"/>
        <v>RUHARO GENERAL HOSPITAL</v>
      </c>
      <c r="C62" s="3">
        <v>8</v>
      </c>
      <c r="D62" s="3">
        <v>0</v>
      </c>
      <c r="E62" s="3">
        <v>2</v>
      </c>
      <c r="F62" s="3">
        <v>0</v>
      </c>
      <c r="G62" s="3">
        <v>0</v>
      </c>
      <c r="H62" s="3">
        <v>10</v>
      </c>
    </row>
    <row r="63" spans="1:8" x14ac:dyDescent="0.25">
      <c r="A63" t="s">
        <v>62</v>
      </c>
      <c r="B63" s="3" t="str">
        <f t="shared" si="0"/>
        <v>SOROTI REGIONAL REFERRAL HOSPITAL</v>
      </c>
      <c r="C63" s="3">
        <v>28</v>
      </c>
      <c r="D63" s="3">
        <v>0</v>
      </c>
      <c r="E63" s="3">
        <v>8</v>
      </c>
      <c r="F63" s="3">
        <v>10</v>
      </c>
      <c r="G63" s="3">
        <v>8</v>
      </c>
      <c r="H63" s="3">
        <v>54</v>
      </c>
    </row>
    <row r="64" spans="1:8" x14ac:dyDescent="0.25">
      <c r="A64" t="s">
        <v>63</v>
      </c>
      <c r="B64" s="3" t="str">
        <f t="shared" si="0"/>
        <v>ST JOHN XXIII HOSPITAL ABER ( ABER HOSPITAL)</v>
      </c>
      <c r="C64" s="3">
        <v>20</v>
      </c>
      <c r="D64" s="3">
        <v>0</v>
      </c>
      <c r="E64" s="3">
        <v>4</v>
      </c>
      <c r="F64" s="3">
        <v>0</v>
      </c>
      <c r="G64" s="3">
        <v>0</v>
      </c>
      <c r="H64" s="3">
        <v>24</v>
      </c>
    </row>
    <row r="65" spans="1:8" x14ac:dyDescent="0.25">
      <c r="A65" t="s">
        <v>64</v>
      </c>
      <c r="B65" s="3" t="str">
        <f t="shared" si="0"/>
        <v>ST MARYS HOSPITAL LACOR</v>
      </c>
      <c r="C65" s="3">
        <v>20</v>
      </c>
      <c r="D65" s="3">
        <v>2</v>
      </c>
      <c r="E65" s="3">
        <v>4</v>
      </c>
      <c r="F65" s="3">
        <v>4</v>
      </c>
      <c r="G65" s="3">
        <v>4</v>
      </c>
      <c r="H65" s="3">
        <v>34</v>
      </c>
    </row>
    <row r="66" spans="1:8" x14ac:dyDescent="0.25">
      <c r="A66" t="s">
        <v>65</v>
      </c>
      <c r="B66" s="3" t="str">
        <f t="shared" si="0"/>
        <v xml:space="preserve">ST. FRANCIS NAGGALAMA HOSPITAL </v>
      </c>
      <c r="C66" s="3">
        <v>8</v>
      </c>
      <c r="D66" s="3">
        <v>0</v>
      </c>
      <c r="E66" s="3">
        <v>0</v>
      </c>
      <c r="F66" s="3">
        <v>2</v>
      </c>
      <c r="G66" s="3">
        <v>2</v>
      </c>
      <c r="H66" s="3">
        <v>12</v>
      </c>
    </row>
    <row r="67" spans="1:8" x14ac:dyDescent="0.25">
      <c r="A67" t="s">
        <v>66</v>
      </c>
      <c r="B67" s="3" t="str">
        <f t="shared" ref="B67:B74" si="1">UPPER(A67)</f>
        <v>ST. FRANCIS NSMABYA HOSPITAL</v>
      </c>
      <c r="C67" s="3">
        <v>40</v>
      </c>
      <c r="D67" s="3">
        <v>0</v>
      </c>
      <c r="E67" s="3">
        <v>8</v>
      </c>
      <c r="F67" s="3">
        <v>5</v>
      </c>
      <c r="G67" s="3">
        <v>5</v>
      </c>
      <c r="H67" s="3">
        <v>58</v>
      </c>
    </row>
    <row r="68" spans="1:8" x14ac:dyDescent="0.25">
      <c r="A68" t="s">
        <v>67</v>
      </c>
      <c r="B68" s="3" t="str">
        <f t="shared" si="1"/>
        <v>ST. JOSEPH HOSPITAL MARACHA</v>
      </c>
      <c r="C68" s="3">
        <v>0</v>
      </c>
      <c r="D68" s="3">
        <v>0</v>
      </c>
      <c r="E68" s="3">
        <v>0</v>
      </c>
      <c r="F68" s="3">
        <v>3</v>
      </c>
      <c r="G68" s="3">
        <v>0</v>
      </c>
      <c r="H68" s="3">
        <v>3</v>
      </c>
    </row>
    <row r="69" spans="1:8" x14ac:dyDescent="0.25">
      <c r="A69" t="s">
        <v>68</v>
      </c>
      <c r="B69" s="3" t="str">
        <f t="shared" si="1"/>
        <v xml:space="preserve">ST. JOSEPH'S HOSPITAL KITGUM </v>
      </c>
      <c r="C69" s="3">
        <v>5</v>
      </c>
      <c r="D69" s="3">
        <v>0</v>
      </c>
      <c r="E69" s="3">
        <v>3</v>
      </c>
      <c r="F69" s="3">
        <v>2</v>
      </c>
      <c r="G69" s="3">
        <v>2</v>
      </c>
      <c r="H69" s="3">
        <v>12</v>
      </c>
    </row>
    <row r="70" spans="1:8" x14ac:dyDescent="0.25">
      <c r="A70" t="s">
        <v>69</v>
      </c>
      <c r="B70" s="3" t="str">
        <f t="shared" si="1"/>
        <v xml:space="preserve">ST. JOSEPH'S HOSPITAL KITOVU </v>
      </c>
      <c r="C70" s="3">
        <v>16</v>
      </c>
      <c r="D70" s="3">
        <v>0</v>
      </c>
      <c r="E70" s="3">
        <v>3</v>
      </c>
      <c r="F70" s="3">
        <v>0</v>
      </c>
      <c r="G70" s="3">
        <v>0</v>
      </c>
      <c r="H70" s="3">
        <v>19</v>
      </c>
    </row>
    <row r="71" spans="1:8" x14ac:dyDescent="0.25">
      <c r="A71" t="s">
        <v>74</v>
      </c>
      <c r="B71" s="3" t="str">
        <f t="shared" si="1"/>
        <v>ST. KIZITO HOSPITAL, MATANY</v>
      </c>
      <c r="C71" s="3">
        <v>4</v>
      </c>
      <c r="D71" s="3">
        <v>0</v>
      </c>
      <c r="E71" s="3">
        <v>0</v>
      </c>
      <c r="F71" s="3">
        <v>0</v>
      </c>
      <c r="G71" s="3">
        <v>0</v>
      </c>
      <c r="H71" s="3">
        <v>4</v>
      </c>
    </row>
    <row r="72" spans="1:8" x14ac:dyDescent="0.25">
      <c r="A72" t="s">
        <v>70</v>
      </c>
      <c r="B72" s="3" t="str">
        <f t="shared" si="1"/>
        <v>TORORO GENERAL HOSPITAL</v>
      </c>
      <c r="C72" s="3">
        <v>0</v>
      </c>
      <c r="D72" s="3">
        <v>0</v>
      </c>
      <c r="E72" s="3">
        <v>0</v>
      </c>
      <c r="F72" s="3">
        <v>5</v>
      </c>
      <c r="G72" s="3">
        <v>0</v>
      </c>
      <c r="H72" s="3">
        <v>5</v>
      </c>
    </row>
    <row r="73" spans="1:8" x14ac:dyDescent="0.25">
      <c r="A73" t="s">
        <v>71</v>
      </c>
      <c r="B73" s="3" t="str">
        <f t="shared" si="1"/>
        <v>UHI</v>
      </c>
      <c r="C73" s="3">
        <v>0</v>
      </c>
      <c r="D73" s="3">
        <v>0</v>
      </c>
      <c r="E73" s="3">
        <v>5</v>
      </c>
      <c r="F73" s="3">
        <v>15</v>
      </c>
      <c r="G73" s="3">
        <v>0</v>
      </c>
      <c r="H73" s="3">
        <v>20</v>
      </c>
    </row>
    <row r="74" spans="1:8" x14ac:dyDescent="0.25">
      <c r="A74" t="s">
        <v>72</v>
      </c>
      <c r="B74" s="3" t="str">
        <f t="shared" si="1"/>
        <v xml:space="preserve">YUMBE REGIONAL REFERRAL HOSPITAL </v>
      </c>
      <c r="C74" s="3">
        <v>20</v>
      </c>
      <c r="D74" s="3">
        <v>0</v>
      </c>
      <c r="E74" s="3">
        <v>5</v>
      </c>
      <c r="F74" s="3">
        <v>6</v>
      </c>
      <c r="G74" s="3">
        <v>5</v>
      </c>
      <c r="H74" s="3">
        <v>36</v>
      </c>
    </row>
    <row r="75" spans="1:8" s="1" customFormat="1" x14ac:dyDescent="0.25">
      <c r="A75" s="1" t="s">
        <v>73</v>
      </c>
      <c r="B75" s="2" t="s">
        <v>73</v>
      </c>
      <c r="C75" s="2">
        <v>1298</v>
      </c>
      <c r="D75" s="2">
        <v>67</v>
      </c>
      <c r="E75" s="2">
        <v>327</v>
      </c>
      <c r="F75" s="2">
        <v>744</v>
      </c>
      <c r="G75" s="2">
        <v>383</v>
      </c>
      <c r="H75" s="2">
        <v>2819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CARRYING CAPCITY OF INTERNSHIP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Reginald Rony Bahatungire</dc:creator>
  <cp:lastModifiedBy>Reginald Rony Bahatungire</cp:lastModifiedBy>
  <dcterms:created xsi:type="dcterms:W3CDTF">2024-07-21T11:31:35Z</dcterms:created>
  <dcterms:modified xsi:type="dcterms:W3CDTF">2024-07-21T11:51:12Z</dcterms:modified>
</cp:coreProperties>
</file>